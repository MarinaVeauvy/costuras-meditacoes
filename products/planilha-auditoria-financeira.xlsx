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ia de Assinaturas" sheetId="1" state="visible" r:id="rId1"/>
    <sheet name="Raio-X Mensal" sheetId="2" state="visible" r:id="rId2"/>
    <sheet name="Meta de Economia" sheetId="3" state="visible" r:id="rId3"/>
    <sheet name="Controle 12 Meses" sheetId="4" state="visible" r:id="rId4"/>
    <sheet name="Instruco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 &quot;;-#,##0.00&quot; &quot;"/>
    <numFmt numFmtId="165" formatCode="0.0%"/>
  </numFmts>
  <fonts count="19">
    <font>
      <name val="Calibri"/>
      <family val="2"/>
      <color theme="1"/>
      <sz val="11"/>
      <scheme val="minor"/>
    </font>
    <font>
      <name val="Calibri"/>
      <b val="1"/>
      <color rgb="001A1A2E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A1A2E"/>
      <sz val="12"/>
    </font>
    <font>
      <name val="Calibri"/>
      <b val="1"/>
      <sz val="11"/>
    </font>
    <font>
      <name val="Calibri"/>
      <b val="1"/>
      <color rgb="00006100"/>
      <sz val="11"/>
    </font>
    <font>
      <name val="Calibri"/>
      <color rgb="00006100"/>
      <sz val="11"/>
    </font>
    <font>
      <name val="Calibri"/>
      <color rgb="009C0006"/>
      <sz val="11"/>
    </font>
    <font>
      <name val="Calibri"/>
      <b val="1"/>
      <color rgb="001A1A2E"/>
      <sz val="13"/>
    </font>
    <font>
      <name val="Calibri"/>
      <b val="1"/>
      <color rgb="00006100"/>
      <sz val="16"/>
    </font>
    <font>
      <name val="Calibri"/>
      <i val="1"/>
      <color rgb="00888888"/>
      <sz val="9"/>
    </font>
    <font>
      <name val="Calibri"/>
      <i val="1"/>
      <color rgb="001A1A2E"/>
      <sz val="11"/>
    </font>
    <font>
      <name val="Calibri"/>
      <color rgb="00CCCCCC"/>
      <sz val="9"/>
    </font>
    <font>
      <name val="Calibri"/>
      <b val="1"/>
      <color rgb="00FFFFFF"/>
      <sz val="16"/>
    </font>
    <font>
      <name val="Calibri"/>
      <b val="1"/>
      <color rgb="00006100"/>
      <sz val="12"/>
    </font>
    <font>
      <name val="Calibri"/>
      <b val="1"/>
      <color rgb="001A1A2E"/>
      <sz val="11"/>
    </font>
    <font>
      <name val="Calibri"/>
      <color rgb="004472C4"/>
      <sz val="10"/>
      <u val="single"/>
    </font>
  </fonts>
  <fills count="8">
    <fill>
      <patternFill/>
    </fill>
    <fill>
      <patternFill patternType="gray125"/>
    </fill>
    <fill>
      <patternFill patternType="solid">
        <fgColor rgb="00E8D5B7"/>
        <bgColor rgb="00E8D5B7"/>
      </patternFill>
    </fill>
    <fill>
      <patternFill patternType="solid">
        <fgColor rgb="001A1A2E"/>
        <bgColor rgb="001A1A2E"/>
      </patternFill>
    </fill>
    <fill>
      <patternFill patternType="solid">
        <fgColor rgb="00F5F0E8"/>
        <bgColor rgb="00F5F0E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8F5E9"/>
        <bgColor rgb="00E8F5E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medium">
        <color rgb="001A1A2E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5" fillId="2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0" fontId="4" fillId="0" borderId="1" applyAlignment="1" pivotButton="0" quotePrefix="0" xfId="0">
      <alignment horizontal="left" vertical="center"/>
    </xf>
    <xf numFmtId="164" fontId="8" fillId="5" borderId="1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left" vertical="center"/>
    </xf>
    <xf numFmtId="164" fontId="9" fillId="6" borderId="1" applyAlignment="1" pivotButton="0" quotePrefix="0" xfId="0">
      <alignment vertical="center"/>
    </xf>
    <xf numFmtId="165" fontId="4" fillId="4" borderId="1" applyAlignment="1" pivotButton="0" quotePrefix="0" xfId="0">
      <alignment vertical="center"/>
    </xf>
    <xf numFmtId="165" fontId="3" fillId="3" borderId="1" applyAlignment="1" pivotButton="0" quotePrefix="0" xfId="0">
      <alignment horizontal="center" vertical="center"/>
    </xf>
    <xf numFmtId="0" fontId="6" fillId="2" borderId="0" pivotButton="0" quotePrefix="0" xfId="0"/>
    <xf numFmtId="164" fontId="6" fillId="2" borderId="0" pivotButton="0" quotePrefix="0" xfId="0"/>
    <xf numFmtId="0" fontId="0" fillId="2" borderId="0" pivotButton="0" quotePrefix="0" xfId="0"/>
    <xf numFmtId="164" fontId="1" fillId="0" borderId="2" pivotButton="0" quotePrefix="0" xfId="0"/>
    <xf numFmtId="165" fontId="1" fillId="0" borderId="2" pivotButton="0" quotePrefix="0" xfId="0"/>
    <xf numFmtId="164" fontId="10" fillId="0" borderId="1" pivotButton="0" quotePrefix="0" xfId="0"/>
    <xf numFmtId="164" fontId="11" fillId="5" borderId="1" pivotButton="0" quotePrefix="0" xfId="0"/>
    <xf numFmtId="0" fontId="12" fillId="0" borderId="0" pivotButton="0" quotePrefix="0" xfId="0"/>
    <xf numFmtId="0" fontId="13" fillId="2" borderId="0" applyAlignment="1" pivotButton="0" quotePrefix="0" xfId="0">
      <alignment horizontal="center"/>
    </xf>
    <xf numFmtId="0" fontId="6" fillId="0" borderId="1" applyAlignment="1" pivotButton="0" quotePrefix="0" xfId="0">
      <alignment vertical="center"/>
    </xf>
    <xf numFmtId="164" fontId="6" fillId="0" borderId="1" applyAlignment="1" pivotButton="0" quotePrefix="0" xfId="0">
      <alignment horizontal="center"/>
    </xf>
    <xf numFmtId="0" fontId="6" fillId="4" borderId="1" applyAlignment="1" pivotButton="0" quotePrefix="0" xfId="0">
      <alignment vertical="center"/>
    </xf>
    <xf numFmtId="164" fontId="6" fillId="4" borderId="1" applyAlignment="1" pivotButton="0" quotePrefix="0" xfId="0">
      <alignment horizontal="center"/>
    </xf>
    <xf numFmtId="0" fontId="7" fillId="7" borderId="1" applyAlignment="1" pivotButton="0" quotePrefix="0" xfId="0">
      <alignment vertical="center"/>
    </xf>
    <xf numFmtId="164" fontId="7" fillId="7" borderId="1" applyAlignment="1" pivotButton="0" quotePrefix="0" xfId="0">
      <alignment vertical="center"/>
    </xf>
    <xf numFmtId="164" fontId="7" fillId="7" borderId="1" applyAlignment="1" pivotButton="0" quotePrefix="0" xfId="0">
      <alignment horizontal="center"/>
    </xf>
    <xf numFmtId="0" fontId="14" fillId="0" borderId="0" pivotButton="0" quotePrefix="0" xfId="0"/>
    <xf numFmtId="164" fontId="14" fillId="0" borderId="0" pivotButton="0" quotePrefix="0" xfId="0"/>
    <xf numFmtId="0" fontId="15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0" borderId="0" applyAlignment="1" pivotButton="0" quotePrefix="0" xfId="0">
      <alignment vertical="top" wrapText="1"/>
    </xf>
    <xf numFmtId="0" fontId="16" fillId="5" borderId="0" pivotButton="0" quotePrefix="0" xfId="0"/>
    <xf numFmtId="0" fontId="0" fillId="5" borderId="0" pivotButton="0" quotePrefix="0" xfId="0"/>
    <xf numFmtId="0" fontId="17" fillId="2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Receita vs Gastos vs Economia</a:t>
            </a:r>
          </a:p>
        </rich>
      </tx>
    </title>
    <plotArea>
      <lineChart>
        <grouping val="standard"/>
        <ser>
          <idx val="0"/>
          <order val="0"/>
          <tx>
            <v>Receita</v>
          </tx>
          <spPr>
            <a:ln>
              <a:solidFill>
                <a:srgbClr val="1A1A2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'Controle 12 Meses'!$B$3:$M$3</f>
            </numRef>
          </cat>
          <val>
            <numRef>
              <f>'Controle 12 Meses'!$B$4:$M$4</f>
            </numRef>
          </val>
        </ser>
        <ser>
          <idx val="1"/>
          <order val="1"/>
          <tx>
            <v>Total Gastos</v>
          </tx>
          <spPr>
            <a:ln>
              <a:solidFill>
                <a:srgbClr val="FF444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'Controle 12 Meses'!$B$3:$M$3</f>
            </numRef>
          </cat>
          <val>
            <numRef>
              <f>'Controle 12 Meses'!$B$12:$M$12</f>
            </numRef>
          </val>
        </ser>
        <ser>
          <idx val="2"/>
          <order val="2"/>
          <tx>
            <v>Sobra</v>
          </tx>
          <spPr>
            <a:ln>
              <a:solidFill>
                <a:srgbClr val="00AA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'Controle 12 Meses'!$B$3:$M$3</f>
            </numRef>
          </cat>
          <val>
            <numRef>
              <f>'Controle 12 Meses'!$B$8:$M$8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AUDITORIA DE ASSINATURAS</t>
        </is>
      </c>
    </row>
    <row r="2" ht="22" customHeight="1">
      <c r="A2" s="2" t="inlineStr">
        <is>
          <t>Revise cada assinatura e classifique: vale a pena manter?</t>
        </is>
      </c>
    </row>
    <row r="3">
      <c r="A3" s="3" t="inlineStr">
        <is>
          <t>Servico</t>
        </is>
      </c>
      <c r="B3" s="3" t="inlineStr">
        <is>
          <t>Categoria</t>
        </is>
      </c>
      <c r="C3" s="3" t="inlineStr">
        <is>
          <t>Valor Mensal (R$)</t>
        </is>
      </c>
      <c r="D3" s="3" t="inlineStr">
        <is>
          <t>Frequencia de Uso</t>
        </is>
      </c>
      <c r="E3" s="3" t="inlineStr">
        <is>
          <t>Classificacao</t>
        </is>
      </c>
      <c r="F3" s="3" t="inlineStr">
        <is>
          <t>Economia Mensal (R$)</t>
        </is>
      </c>
    </row>
    <row r="4">
      <c r="A4" s="4" t="inlineStr">
        <is>
          <t>Netflix</t>
        </is>
      </c>
      <c r="B4" s="5" t="inlineStr">
        <is>
          <t>Streaming</t>
        </is>
      </c>
      <c r="C4" s="6" t="n">
        <v>39.9</v>
      </c>
      <c r="D4" s="5" t="inlineStr">
        <is>
          <t>Semanal</t>
        </is>
      </c>
      <c r="E4" s="5" t="inlineStr">
        <is>
          <t>ESSENCIAL</t>
        </is>
      </c>
      <c r="F4" s="6">
        <f>IF(E4="CANCELAR",C4,IF(E4="POSSO REDUZIR",C4*0.5,0))</f>
        <v/>
      </c>
    </row>
    <row r="5">
      <c r="A5" s="7" t="inlineStr">
        <is>
          <t>Spotify</t>
        </is>
      </c>
      <c r="B5" s="8" t="inlineStr">
        <is>
          <t>Musica</t>
        </is>
      </c>
      <c r="C5" s="9" t="n">
        <v>21.9</v>
      </c>
      <c r="D5" s="8" t="inlineStr">
        <is>
          <t>Diario</t>
        </is>
      </c>
      <c r="E5" s="8" t="inlineStr">
        <is>
          <t>ESSENCIAL</t>
        </is>
      </c>
      <c r="F5" s="9">
        <f>IF(E5="CANCELAR",C5,IF(E5="POSSO REDUZIR",C5*0.5,0))</f>
        <v/>
      </c>
    </row>
    <row r="6">
      <c r="A6" s="4" t="inlineStr">
        <is>
          <t>Amazon Prime</t>
        </is>
      </c>
      <c r="B6" s="5" t="inlineStr">
        <is>
          <t>Streaming</t>
        </is>
      </c>
      <c r="C6" s="6" t="n">
        <v>19.9</v>
      </c>
      <c r="D6" s="5" t="inlineStr">
        <is>
          <t>Semanal</t>
        </is>
      </c>
      <c r="E6" s="5" t="inlineStr">
        <is>
          <t>POSSO REDUZIR</t>
        </is>
      </c>
      <c r="F6" s="6">
        <f>IF(E6="CANCELAR",C6,IF(E6="POSSO REDUZIR",C6*0.5,0))</f>
        <v/>
      </c>
    </row>
    <row r="7">
      <c r="A7" s="7" t="inlineStr">
        <is>
          <t>Disney+</t>
        </is>
      </c>
      <c r="B7" s="8" t="inlineStr">
        <is>
          <t>Streaming</t>
        </is>
      </c>
      <c r="C7" s="9" t="n">
        <v>33.9</v>
      </c>
      <c r="D7" s="8" t="inlineStr">
        <is>
          <t>Mensal</t>
        </is>
      </c>
      <c r="E7" s="8" t="inlineStr">
        <is>
          <t>CANCELAR</t>
        </is>
      </c>
      <c r="F7" s="9">
        <f>IF(E7="CANCELAR",C7,IF(E7="POSSO REDUZIR",C7*0.5,0))</f>
        <v/>
      </c>
    </row>
    <row r="8">
      <c r="A8" s="4" t="inlineStr">
        <is>
          <t>HBO Max</t>
        </is>
      </c>
      <c r="B8" s="5" t="inlineStr">
        <is>
          <t>Streaming</t>
        </is>
      </c>
      <c r="C8" s="6" t="n">
        <v>34.9</v>
      </c>
      <c r="D8" s="5" t="inlineStr">
        <is>
          <t>Raramente</t>
        </is>
      </c>
      <c r="E8" s="5" t="inlineStr">
        <is>
          <t>CANCELAR</t>
        </is>
      </c>
      <c r="F8" s="6">
        <f>IF(E8="CANCELAR",C8,IF(E8="POSSO REDUZIR",C8*0.5,0))</f>
        <v/>
      </c>
    </row>
    <row r="9">
      <c r="A9" s="7" t="inlineStr">
        <is>
          <t>YouTube Premium</t>
        </is>
      </c>
      <c r="B9" s="8" t="inlineStr">
        <is>
          <t>Streaming</t>
        </is>
      </c>
      <c r="C9" s="9" t="n">
        <v>24.9</v>
      </c>
      <c r="D9" s="8" t="inlineStr">
        <is>
          <t>Diario</t>
        </is>
      </c>
      <c r="E9" s="8" t="inlineStr">
        <is>
          <t>ESSENCIAL</t>
        </is>
      </c>
      <c r="F9" s="9">
        <f>IF(E9="CANCELAR",C9,IF(E9="POSSO REDUZIR",C9*0.5,0))</f>
        <v/>
      </c>
    </row>
    <row r="10">
      <c r="A10" s="4" t="inlineStr">
        <is>
          <t>iCloud 200GB</t>
        </is>
      </c>
      <c r="B10" s="5" t="inlineStr">
        <is>
          <t>Cloud</t>
        </is>
      </c>
      <c r="C10" s="6" t="n">
        <v>14.9</v>
      </c>
      <c r="D10" s="5" t="inlineStr">
        <is>
          <t>Diario</t>
        </is>
      </c>
      <c r="E10" s="5" t="inlineStr">
        <is>
          <t>ESSENCIAL</t>
        </is>
      </c>
      <c r="F10" s="6">
        <f>IF(E10="CANCELAR",C10,IF(E10="POSSO REDUZIR",C10*0.5,0))</f>
        <v/>
      </c>
    </row>
    <row r="11">
      <c r="A11" s="7" t="inlineStr">
        <is>
          <t>Google One 100GB</t>
        </is>
      </c>
      <c r="B11" s="8" t="inlineStr">
        <is>
          <t>Cloud</t>
        </is>
      </c>
      <c r="C11" s="9" t="n">
        <v>9.99</v>
      </c>
      <c r="D11" s="8" t="inlineStr">
        <is>
          <t>Diario</t>
        </is>
      </c>
      <c r="E11" s="8" t="inlineStr">
        <is>
          <t>POSSO REDUZIR</t>
        </is>
      </c>
      <c r="F11" s="9">
        <f>IF(E11="CANCELAR",C11,IF(E11="POSSO REDUZIR",C11*0.5,0))</f>
        <v/>
      </c>
    </row>
    <row r="12">
      <c r="A12" s="4" t="inlineStr">
        <is>
          <t>Academia Smart Fit</t>
        </is>
      </c>
      <c r="B12" s="5" t="inlineStr">
        <is>
          <t>Fitness</t>
        </is>
      </c>
      <c r="C12" s="6" t="n">
        <v>109.9</v>
      </c>
      <c r="D12" s="5" t="inlineStr">
        <is>
          <t>Semanal</t>
        </is>
      </c>
      <c r="E12" s="5" t="inlineStr">
        <is>
          <t>ESSENCIAL</t>
        </is>
      </c>
      <c r="F12" s="6">
        <f>IF(E12="CANCELAR",C12,IF(E12="POSSO REDUZIR",C12*0.5,0))</f>
        <v/>
      </c>
    </row>
    <row r="13">
      <c r="A13" s="7" t="inlineStr">
        <is>
          <t>Gympass</t>
        </is>
      </c>
      <c r="B13" s="8" t="inlineStr">
        <is>
          <t>Fitness</t>
        </is>
      </c>
      <c r="C13" s="9" t="n">
        <v>49.9</v>
      </c>
      <c r="D13" s="8" t="inlineStr">
        <is>
          <t>Raramente</t>
        </is>
      </c>
      <c r="E13" s="8" t="inlineStr">
        <is>
          <t>CANCELAR</t>
        </is>
      </c>
      <c r="F13" s="9">
        <f>IF(E13="CANCELAR",C13,IF(E13="POSSO REDUZIR",C13*0.5,0))</f>
        <v/>
      </c>
    </row>
    <row r="14">
      <c r="A14" s="4" t="inlineStr">
        <is>
          <t>Canva Pro</t>
        </is>
      </c>
      <c r="B14" s="5" t="inlineStr">
        <is>
          <t>Software</t>
        </is>
      </c>
      <c r="C14" s="6" t="n">
        <v>34.9</v>
      </c>
      <c r="D14" s="5" t="inlineStr">
        <is>
          <t>Semanal</t>
        </is>
      </c>
      <c r="E14" s="5" t="inlineStr">
        <is>
          <t>POSSO REDUZIR</t>
        </is>
      </c>
      <c r="F14" s="6">
        <f>IF(E14="CANCELAR",C14,IF(E14="POSSO REDUZIR",C14*0.5,0))</f>
        <v/>
      </c>
    </row>
    <row r="15">
      <c r="A15" s="7" t="inlineStr">
        <is>
          <t>ChatGPT Plus</t>
        </is>
      </c>
      <c r="B15" s="8" t="inlineStr">
        <is>
          <t>Software</t>
        </is>
      </c>
      <c r="C15" s="9" t="n">
        <v>104.9</v>
      </c>
      <c r="D15" s="8" t="inlineStr">
        <is>
          <t>Diario</t>
        </is>
      </c>
      <c r="E15" s="8" t="inlineStr">
        <is>
          <t>ESSENCIAL</t>
        </is>
      </c>
      <c r="F15" s="9">
        <f>IF(E15="CANCELAR",C15,IF(E15="POSSO REDUZIR",C15*0.5,0))</f>
        <v/>
      </c>
    </row>
    <row r="16">
      <c r="A16" s="4" t="inlineStr">
        <is>
          <t>Globoplay</t>
        </is>
      </c>
      <c r="B16" s="5" t="inlineStr">
        <is>
          <t>Streaming</t>
        </is>
      </c>
      <c r="C16" s="6" t="n">
        <v>24.9</v>
      </c>
      <c r="D16" s="5" t="inlineStr">
        <is>
          <t>Mensal</t>
        </is>
      </c>
      <c r="E16" s="5" t="inlineStr">
        <is>
          <t>CANCELAR</t>
        </is>
      </c>
      <c r="F16" s="6">
        <f>IF(E16="CANCELAR",C16,IF(E16="POSSO REDUZIR",C16*0.5,0))</f>
        <v/>
      </c>
    </row>
    <row r="17">
      <c r="A17" s="7" t="inlineStr">
        <is>
          <t>Kindle Unlimited</t>
        </is>
      </c>
      <c r="B17" s="8" t="inlineStr">
        <is>
          <t>Educacao</t>
        </is>
      </c>
      <c r="C17" s="9" t="n">
        <v>19.9</v>
      </c>
      <c r="D17" s="8" t="inlineStr">
        <is>
          <t>Semanal</t>
        </is>
      </c>
      <c r="E17" s="8" t="inlineStr">
        <is>
          <t>POSSO REDUZIR</t>
        </is>
      </c>
      <c r="F17" s="9">
        <f>IF(E17="CANCELAR",C17,IF(E17="POSSO REDUZIR",C17*0.5,0))</f>
        <v/>
      </c>
    </row>
    <row r="18">
      <c r="A18" s="4" t="inlineStr">
        <is>
          <t>Headspace</t>
        </is>
      </c>
      <c r="B18" s="5" t="inlineStr">
        <is>
          <t>Saude</t>
        </is>
      </c>
      <c r="C18" s="6" t="n">
        <v>27.9</v>
      </c>
      <c r="D18" s="5" t="inlineStr">
        <is>
          <t>Raramente</t>
        </is>
      </c>
      <c r="E18" s="5" t="inlineStr">
        <is>
          <t>CANCELAR</t>
        </is>
      </c>
      <c r="F18" s="6">
        <f>IF(E18="CANCELAR",C18,IF(E18="POSSO REDUZIR",C18*0.5,0))</f>
        <v/>
      </c>
    </row>
    <row r="19">
      <c r="A19" s="10" t="inlineStr">
        <is>
          <t>TOTAL</t>
        </is>
      </c>
      <c r="B19" s="10" t="n"/>
      <c r="C19" s="11">
        <f>SUM(C4:C18)</f>
        <v/>
      </c>
      <c r="D19" s="10" t="n"/>
      <c r="E19" s="10" t="n"/>
      <c r="F19" s="11">
        <f>SUM(F4:F18)</f>
        <v/>
      </c>
    </row>
    <row r="21">
      <c r="A21" s="12" t="inlineStr">
        <is>
          <t>Resumo da Auditoria</t>
        </is>
      </c>
    </row>
    <row r="22">
      <c r="A22" s="13" t="inlineStr">
        <is>
          <t>Total de assinaturas:</t>
        </is>
      </c>
      <c r="B22" s="13">
        <f>COUNTA(A4:A18)</f>
        <v/>
      </c>
    </row>
    <row r="23">
      <c r="A23" s="13" t="inlineStr">
        <is>
          <t>Gasto total mensal:</t>
        </is>
      </c>
      <c r="B23" s="14">
        <f>C19</f>
        <v/>
      </c>
    </row>
    <row r="24">
      <c r="A24" s="15" t="inlineStr">
        <is>
          <t>Economia possivel:</t>
        </is>
      </c>
      <c r="B24" s="16">
        <f>F19</f>
        <v/>
      </c>
    </row>
  </sheetData>
  <mergeCells count="3">
    <mergeCell ref="A2:F2"/>
    <mergeCell ref="A21:B2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</cols>
  <sheetData>
    <row r="1" ht="35" customHeight="1">
      <c r="A1" s="1" t="inlineStr">
        <is>
          <t>RAIO-X MENSAL DE GASTOS</t>
        </is>
      </c>
    </row>
    <row r="2">
      <c r="A2" s="2" t="inlineStr">
        <is>
          <t>Compare o que voce planejou gastar com o que realmente gastou</t>
        </is>
      </c>
    </row>
    <row r="3">
      <c r="A3" s="3" t="inlineStr">
        <is>
          <t>Categoria</t>
        </is>
      </c>
      <c r="B3" s="3" t="inlineStr">
        <is>
          <t>Orcado (R$)</t>
        </is>
      </c>
      <c r="C3" s="3" t="inlineStr">
        <is>
          <t>Realizado (R$)</t>
        </is>
      </c>
      <c r="D3" s="3" t="inlineStr">
        <is>
          <t>Diferenca (R$)</t>
        </is>
      </c>
      <c r="E3" s="3" t="inlineStr">
        <is>
          <t>% do Total</t>
        </is>
      </c>
    </row>
    <row r="4">
      <c r="A4" s="17" t="inlineStr">
        <is>
          <t>Moradia</t>
        </is>
      </c>
      <c r="B4" s="6" t="n">
        <v>1500</v>
      </c>
      <c r="C4" s="18" t="n">
        <v>1500</v>
      </c>
      <c r="D4" s="18">
        <f>B4-C4</f>
        <v/>
      </c>
      <c r="E4" s="19">
        <f>IF(C$14=0,0,C4/C$14)</f>
        <v/>
      </c>
    </row>
    <row r="5">
      <c r="A5" s="20" t="inlineStr">
        <is>
          <t>Alimentacao</t>
        </is>
      </c>
      <c r="B5" s="9" t="n">
        <v>800</v>
      </c>
      <c r="C5" s="21" t="n">
        <v>920</v>
      </c>
      <c r="D5" s="21">
        <f>B5-C5</f>
        <v/>
      </c>
      <c r="E5" s="22">
        <f>IF(C$14=0,0,C5/C$14)</f>
        <v/>
      </c>
    </row>
    <row r="6">
      <c r="A6" s="17" t="inlineStr">
        <is>
          <t>Transporte</t>
        </is>
      </c>
      <c r="B6" s="6" t="n">
        <v>400</v>
      </c>
      <c r="C6" s="18" t="n">
        <v>350</v>
      </c>
      <c r="D6" s="18">
        <f>B6-C6</f>
        <v/>
      </c>
      <c r="E6" s="19">
        <f>IF(C$14=0,0,C6/C$14)</f>
        <v/>
      </c>
    </row>
    <row r="7">
      <c r="A7" s="20" t="inlineStr">
        <is>
          <t>Saude</t>
        </is>
      </c>
      <c r="B7" s="9" t="n">
        <v>200</v>
      </c>
      <c r="C7" s="18" t="n">
        <v>180</v>
      </c>
      <c r="D7" s="18">
        <f>B7-C7</f>
        <v/>
      </c>
      <c r="E7" s="22">
        <f>IF(C$14=0,0,C7/C$14)</f>
        <v/>
      </c>
    </row>
    <row r="8">
      <c r="A8" s="17" t="inlineStr">
        <is>
          <t>Educacao</t>
        </is>
      </c>
      <c r="B8" s="6" t="n">
        <v>300</v>
      </c>
      <c r="C8" s="18" t="n">
        <v>300</v>
      </c>
      <c r="D8" s="18">
        <f>B8-C8</f>
        <v/>
      </c>
      <c r="E8" s="19">
        <f>IF(C$14=0,0,C8/C$14)</f>
        <v/>
      </c>
    </row>
    <row r="9">
      <c r="A9" s="20" t="inlineStr">
        <is>
          <t>Lazer</t>
        </is>
      </c>
      <c r="B9" s="9" t="n">
        <v>250</v>
      </c>
      <c r="C9" s="21" t="n">
        <v>380</v>
      </c>
      <c r="D9" s="21">
        <f>B9-C9</f>
        <v/>
      </c>
      <c r="E9" s="22">
        <f>IF(C$14=0,0,C9/C$14)</f>
        <v/>
      </c>
    </row>
    <row r="10">
      <c r="A10" s="17" t="inlineStr">
        <is>
          <t>Assinaturas</t>
        </is>
      </c>
      <c r="B10" s="6" t="n">
        <v>200</v>
      </c>
      <c r="C10" s="21" t="n">
        <v>572</v>
      </c>
      <c r="D10" s="21">
        <f>B10-C10</f>
        <v/>
      </c>
      <c r="E10" s="19">
        <f>IF(C$14=0,0,C10/C$14)</f>
        <v/>
      </c>
    </row>
    <row r="11">
      <c r="A11" s="20" t="inlineStr">
        <is>
          <t>Vestuario</t>
        </is>
      </c>
      <c r="B11" s="9" t="n">
        <v>150</v>
      </c>
      <c r="C11" s="21" t="n">
        <v>200</v>
      </c>
      <c r="D11" s="21">
        <f>B11-C11</f>
        <v/>
      </c>
      <c r="E11" s="22">
        <f>IF(C$14=0,0,C11/C$14)</f>
        <v/>
      </c>
    </row>
    <row r="12">
      <c r="A12" s="17" t="inlineStr">
        <is>
          <t>Pessoal</t>
        </is>
      </c>
      <c r="B12" s="6" t="n">
        <v>200</v>
      </c>
      <c r="C12" s="21" t="n">
        <v>250</v>
      </c>
      <c r="D12" s="21">
        <f>B12-C12</f>
        <v/>
      </c>
      <c r="E12" s="19">
        <f>IF(C$14=0,0,C12/C$14)</f>
        <v/>
      </c>
    </row>
    <row r="13">
      <c r="A13" s="20" t="inlineStr">
        <is>
          <t>Outros</t>
        </is>
      </c>
      <c r="B13" s="9" t="n">
        <v>100</v>
      </c>
      <c r="C13" s="21" t="n">
        <v>150</v>
      </c>
      <c r="D13" s="21">
        <f>B13-C13</f>
        <v/>
      </c>
      <c r="E13" s="22">
        <f>IF(C$14=0,0,C13/C$14)</f>
        <v/>
      </c>
    </row>
    <row r="14">
      <c r="A14" s="10" t="inlineStr">
        <is>
          <t>TOTAL</t>
        </is>
      </c>
      <c r="B14" s="11">
        <f>SUM(B4:B13)</f>
        <v/>
      </c>
      <c r="C14" s="11">
        <f>SUM(C4:C13)</f>
        <v/>
      </c>
      <c r="D14" s="11">
        <f>B14-C14</f>
        <v/>
      </c>
      <c r="E14" s="23" t="n">
        <v>1</v>
      </c>
    </row>
    <row r="16">
      <c r="A16" s="24" t="inlineStr">
        <is>
          <t>Renda Mensal:</t>
        </is>
      </c>
      <c r="B16" s="25" t="n">
        <v>5000</v>
      </c>
    </row>
    <row r="17">
      <c r="A17" s="13" t="inlineStr">
        <is>
          <t>Saldo do Mes:</t>
        </is>
      </c>
      <c r="B17" s="14">
        <f>B16-C14</f>
        <v/>
      </c>
    </row>
  </sheetData>
  <mergeCells count="2">
    <mergeCell ref="A2:E2"/>
    <mergeCell ref="A1:E1"/>
  </mergeCells>
  <conditionalFormatting sqref="D4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D5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D6">
    <cfRule type="cellIs" priority="5" operator="greaterThanOrEqual" dxfId="0">
      <formula>0</formula>
    </cfRule>
    <cfRule type="cellIs" priority="6" operator="lessThan" dxfId="1">
      <formula>0</formula>
    </cfRule>
  </conditionalFormatting>
  <conditionalFormatting sqref="D7">
    <cfRule type="cellIs" priority="7" operator="greaterThanOrEqual" dxfId="0">
      <formula>0</formula>
    </cfRule>
    <cfRule type="cellIs" priority="8" operator="lessThan" dxfId="1">
      <formula>0</formula>
    </cfRule>
  </conditionalFormatting>
  <conditionalFormatting sqref="D8">
    <cfRule type="cellIs" priority="9" operator="greaterThanOrEqual" dxfId="0">
      <formula>0</formula>
    </cfRule>
    <cfRule type="cellIs" priority="10" operator="lessThan" dxfId="1">
      <formula>0</formula>
    </cfRule>
  </conditionalFormatting>
  <conditionalFormatting sqref="D9">
    <cfRule type="cellIs" priority="11" operator="greaterThanOrEqual" dxfId="0">
      <formula>0</formula>
    </cfRule>
    <cfRule type="cellIs" priority="12" operator="lessThan" dxfId="1">
      <formula>0</formula>
    </cfRule>
  </conditionalFormatting>
  <conditionalFormatting sqref="D10">
    <cfRule type="cellIs" priority="13" operator="greaterThanOrEqual" dxfId="0">
      <formula>0</formula>
    </cfRule>
    <cfRule type="cellIs" priority="14" operator="lessThan" dxfId="1">
      <formula>0</formula>
    </cfRule>
  </conditionalFormatting>
  <conditionalFormatting sqref="D11">
    <cfRule type="cellIs" priority="15" operator="greaterThanOrEqual" dxfId="0">
      <formula>0</formula>
    </cfRule>
    <cfRule type="cellIs" priority="16" operator="lessThan" dxfId="1">
      <formula>0</formula>
    </cfRule>
  </conditionalFormatting>
  <conditionalFormatting sqref="D12">
    <cfRule type="cellIs" priority="17" operator="greaterThanOrEqual" dxfId="0">
      <formula>0</formula>
    </cfRule>
    <cfRule type="cellIs" priority="18" operator="lessThan" dxfId="1">
      <formula>0</formula>
    </cfRule>
  </conditionalFormatting>
  <conditionalFormatting sqref="D13">
    <cfRule type="cellIs" priority="19" operator="greaterThanOrEqual" dxfId="0">
      <formula>0</formula>
    </cfRule>
    <cfRule type="cellIs" priority="20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16" customWidth="1" min="4" max="4"/>
  </cols>
  <sheetData>
    <row r="1" ht="35" customHeight="1">
      <c r="A1" s="1" t="inlineStr">
        <is>
          <t>META DE ECONOMIA</t>
        </is>
      </c>
    </row>
    <row r="2">
      <c r="A2" s="2" t="inlineStr">
        <is>
          <t>Defina sua meta e veja o poder dos juros compostos</t>
        </is>
      </c>
    </row>
    <row r="4">
      <c r="A4" s="12" t="inlineStr">
        <is>
          <t>DADOS PESSOAIS</t>
        </is>
      </c>
      <c r="C4" s="26" t="n"/>
      <c r="D4" s="26" t="n"/>
    </row>
    <row r="5">
      <c r="A5" s="13" t="inlineStr">
        <is>
          <t>Renda Mensal Liquida:</t>
        </is>
      </c>
      <c r="B5" s="27" t="n">
        <v>5000</v>
      </c>
    </row>
    <row r="6">
      <c r="A6" s="13" t="inlineStr">
        <is>
          <t>Meta de Economia (%):</t>
        </is>
      </c>
      <c r="B6" s="28" t="n">
        <v>0.2</v>
      </c>
    </row>
    <row r="7">
      <c r="A7" s="13" t="inlineStr">
        <is>
          <t>Rendimento Anual (%):</t>
        </is>
      </c>
      <c r="B7" s="28" t="n">
        <v>0.1</v>
      </c>
    </row>
    <row r="9">
      <c r="A9" s="12" t="inlineStr">
        <is>
          <t>PROJECAO FINANCEIRA</t>
        </is>
      </c>
      <c r="C9" s="26" t="n"/>
      <c r="D9" s="26" t="n"/>
    </row>
    <row r="11">
      <c r="A11" s="13" t="inlineStr">
        <is>
          <t>Economia Mensal Alvo:</t>
        </is>
      </c>
      <c r="B11" s="29">
        <f>B5*B6</f>
        <v/>
      </c>
    </row>
    <row r="12">
      <c r="A12" s="13" t="inlineStr">
        <is>
          <t>Economia Anual Projetada:</t>
        </is>
      </c>
      <c r="B12" s="29">
        <f>B11*12</f>
        <v/>
      </c>
    </row>
    <row r="14" ht="30" customHeight="1">
      <c r="A14" s="13" t="inlineStr">
        <is>
          <t>Acumulado em 1 ano (com juros):</t>
        </is>
      </c>
      <c r="B14" s="30">
        <f>B11*((1+B7/12)^12-1)/(B7/12)</f>
        <v/>
      </c>
    </row>
    <row r="15" ht="30" customHeight="1">
      <c r="A15" s="13" t="inlineStr">
        <is>
          <t>Acumulado em 5 anos (com juros):</t>
        </is>
      </c>
      <c r="B15" s="30">
        <f>B11*((1+B7/12)^60-1)/(B7/12)</f>
        <v/>
      </c>
    </row>
    <row r="16" ht="30" customHeight="1">
      <c r="A16" s="13" t="inlineStr">
        <is>
          <t>Acumulado em 10 anos (com juros):</t>
        </is>
      </c>
      <c r="B16" s="30">
        <f>B11*((1+B7/12)^120-1)/(B7/12)</f>
        <v/>
      </c>
    </row>
    <row r="18">
      <c r="A18" s="31" t="inlineStr">
        <is>
          <t>As projecoes usam juros compostos mensais. Rendimento de 10% a.a. e conservador para renda fixa brasileira.</t>
        </is>
      </c>
    </row>
    <row r="20">
      <c r="A20" s="32" t="inlineStr">
        <is>
          <t>"Nao e sobre quanto voce ganha, e sobre quanto voce guarda e faz crescer."</t>
        </is>
      </c>
    </row>
  </sheetData>
  <mergeCells count="6">
    <mergeCell ref="A4:B4"/>
    <mergeCell ref="A1:D1"/>
    <mergeCell ref="A18:D18"/>
    <mergeCell ref="A20:D20"/>
    <mergeCell ref="A2:D2"/>
    <mergeCell ref="A9:B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5" customHeight="1">
      <c r="A1" s="1" t="inlineStr">
        <is>
          <t>CONTROLE FINANCEIRO 12 MESES</t>
        </is>
      </c>
    </row>
    <row r="3">
      <c r="A3" s="3" t="inlineStr">
        <is>
          <t>Item</t>
        </is>
      </c>
      <c r="B3" s="3" t="inlineStr">
        <is>
          <t>Jan</t>
        </is>
      </c>
      <c r="C3" s="3" t="inlineStr">
        <is>
          <t>Fev</t>
        </is>
      </c>
      <c r="D3" s="3" t="inlineStr">
        <is>
          <t>Mar</t>
        </is>
      </c>
      <c r="E3" s="3" t="inlineStr">
        <is>
          <t>Abr</t>
        </is>
      </c>
      <c r="F3" s="3" t="inlineStr">
        <is>
          <t>Mai</t>
        </is>
      </c>
      <c r="G3" s="3" t="inlineStr">
        <is>
          <t>Jun</t>
        </is>
      </c>
      <c r="H3" s="3" t="inlineStr">
        <is>
          <t>Jul</t>
        </is>
      </c>
      <c r="I3" s="3" t="inlineStr">
        <is>
          <t>Ago</t>
        </is>
      </c>
      <c r="J3" s="3" t="inlineStr">
        <is>
          <t>Set</t>
        </is>
      </c>
      <c r="K3" s="3" t="inlineStr">
        <is>
          <t>Out</t>
        </is>
      </c>
      <c r="L3" s="3" t="inlineStr">
        <is>
          <t>Nov</t>
        </is>
      </c>
      <c r="M3" s="3" t="inlineStr">
        <is>
          <t>Dez</t>
        </is>
      </c>
      <c r="N3" s="3" t="inlineStr">
        <is>
          <t>TOTAL</t>
        </is>
      </c>
    </row>
    <row r="4">
      <c r="A4" s="33" t="inlineStr">
        <is>
          <t>Receita Total</t>
        </is>
      </c>
      <c r="B4" s="6" t="n">
        <v>5000</v>
      </c>
      <c r="C4" s="6" t="n">
        <v>5000</v>
      </c>
      <c r="D4" s="6" t="n">
        <v>5200</v>
      </c>
      <c r="E4" s="6" t="n">
        <v>5000</v>
      </c>
      <c r="F4" s="6" t="n">
        <v>5000</v>
      </c>
      <c r="G4" s="6" t="n">
        <v>5500</v>
      </c>
      <c r="H4" s="6" t="n">
        <v>5000</v>
      </c>
      <c r="I4" s="6" t="n">
        <v>5000</v>
      </c>
      <c r="J4" s="6" t="n">
        <v>5000</v>
      </c>
      <c r="K4" s="6" t="n">
        <v>5200</v>
      </c>
      <c r="L4" s="6" t="n">
        <v>5000</v>
      </c>
      <c r="M4" s="6" t="n">
        <v>6000</v>
      </c>
      <c r="N4" s="34">
        <f>SUM(B4:M4)</f>
        <v/>
      </c>
    </row>
    <row r="5">
      <c r="A5" s="35" t="inlineStr">
        <is>
          <t>(-) Gastos Fixos</t>
        </is>
      </c>
      <c r="B5" s="9" t="n">
        <v>2100</v>
      </c>
      <c r="C5" s="9" t="n">
        <v>2100</v>
      </c>
      <c r="D5" s="9" t="n">
        <v>2100</v>
      </c>
      <c r="E5" s="9" t="n">
        <v>2100</v>
      </c>
      <c r="F5" s="9" t="n">
        <v>2100</v>
      </c>
      <c r="G5" s="9" t="n">
        <v>2100</v>
      </c>
      <c r="H5" s="9" t="n">
        <v>2100</v>
      </c>
      <c r="I5" s="9" t="n">
        <v>2100</v>
      </c>
      <c r="J5" s="9" t="n">
        <v>2100</v>
      </c>
      <c r="K5" s="9" t="n">
        <v>2100</v>
      </c>
      <c r="L5" s="9" t="n">
        <v>2100</v>
      </c>
      <c r="M5" s="9" t="n">
        <v>2100</v>
      </c>
      <c r="N5" s="36">
        <f>SUM(B5:M5)</f>
        <v/>
      </c>
    </row>
    <row r="6">
      <c r="A6" s="33" t="inlineStr">
        <is>
          <t>(-) Gastos Variaveis</t>
        </is>
      </c>
      <c r="B6" s="6" t="n">
        <v>1200</v>
      </c>
      <c r="C6" s="6" t="n">
        <v>1100</v>
      </c>
      <c r="D6" s="6" t="n">
        <v>1300</v>
      </c>
      <c r="E6" s="6" t="n">
        <v>1150</v>
      </c>
      <c r="F6" s="6" t="n">
        <v>1200</v>
      </c>
      <c r="G6" s="6" t="n">
        <v>1400</v>
      </c>
      <c r="H6" s="6" t="n">
        <v>1100</v>
      </c>
      <c r="I6" s="6" t="n">
        <v>1200</v>
      </c>
      <c r="J6" s="6" t="n">
        <v>1250</v>
      </c>
      <c r="K6" s="6" t="n">
        <v>1300</v>
      </c>
      <c r="L6" s="6" t="n">
        <v>1200</v>
      </c>
      <c r="M6" s="6" t="n">
        <v>1500</v>
      </c>
      <c r="N6" s="34">
        <f>SUM(B6:M6)</f>
        <v/>
      </c>
    </row>
    <row r="7">
      <c r="A7" s="35" t="inlineStr">
        <is>
          <t>(-) Assinaturas</t>
        </is>
      </c>
      <c r="B7" s="9" t="n">
        <v>572</v>
      </c>
      <c r="C7" s="9" t="n">
        <v>572</v>
      </c>
      <c r="D7" s="9" t="n">
        <v>572</v>
      </c>
      <c r="E7" s="9" t="n">
        <v>500</v>
      </c>
      <c r="F7" s="9" t="n">
        <v>500</v>
      </c>
      <c r="G7" s="9" t="n">
        <v>500</v>
      </c>
      <c r="H7" s="9" t="n">
        <v>450</v>
      </c>
      <c r="I7" s="9" t="n">
        <v>450</v>
      </c>
      <c r="J7" s="9" t="n">
        <v>450</v>
      </c>
      <c r="K7" s="9" t="n">
        <v>450</v>
      </c>
      <c r="L7" s="9" t="n">
        <v>450</v>
      </c>
      <c r="M7" s="9" t="n">
        <v>450</v>
      </c>
      <c r="N7" s="36">
        <f>SUM(B7:M7)</f>
        <v/>
      </c>
    </row>
    <row r="8">
      <c r="A8" s="37" t="inlineStr">
        <is>
          <t>(=) Sobra</t>
        </is>
      </c>
      <c r="B8" s="38">
        <f>B4-B5-B6-B7</f>
        <v/>
      </c>
      <c r="C8" s="38">
        <f>C4-C5-C6-C7</f>
        <v/>
      </c>
      <c r="D8" s="38">
        <f>D4-D5-D6-D7</f>
        <v/>
      </c>
      <c r="E8" s="38">
        <f>E4-E5-E6-E7</f>
        <v/>
      </c>
      <c r="F8" s="38">
        <f>F4-F5-F6-F7</f>
        <v/>
      </c>
      <c r="G8" s="38">
        <f>G4-G5-G6-G7</f>
        <v/>
      </c>
      <c r="H8" s="38">
        <f>H4-H5-H6-H7</f>
        <v/>
      </c>
      <c r="I8" s="38">
        <f>I4-I5-I6-I7</f>
        <v/>
      </c>
      <c r="J8" s="38">
        <f>J4-J5-J6-J7</f>
        <v/>
      </c>
      <c r="K8" s="38">
        <f>K4-K5-K6-K7</f>
        <v/>
      </c>
      <c r="L8" s="38">
        <f>L4-L5-L6-L7</f>
        <v/>
      </c>
      <c r="M8" s="38">
        <f>M4-M5-M6-M7</f>
        <v/>
      </c>
      <c r="N8" s="39">
        <f>SUM(B8:M8)</f>
        <v/>
      </c>
    </row>
    <row r="9">
      <c r="A9" s="35" t="inlineStr">
        <is>
          <t>Meta Economia</t>
        </is>
      </c>
      <c r="B9" s="9">
        <f>M4*0.2</f>
        <v/>
      </c>
      <c r="C9" s="9">
        <f>M4*0.2</f>
        <v/>
      </c>
      <c r="D9" s="9">
        <f>M4*0.2</f>
        <v/>
      </c>
      <c r="E9" s="9">
        <f>M4*0.2</f>
        <v/>
      </c>
      <c r="F9" s="9">
        <f>M4*0.2</f>
        <v/>
      </c>
      <c r="G9" s="9">
        <f>M4*0.2</f>
        <v/>
      </c>
      <c r="H9" s="9">
        <f>M4*0.2</f>
        <v/>
      </c>
      <c r="I9" s="9">
        <f>M4*0.2</f>
        <v/>
      </c>
      <c r="J9" s="9">
        <f>M4*0.2</f>
        <v/>
      </c>
      <c r="K9" s="9">
        <f>M4*0.2</f>
        <v/>
      </c>
      <c r="L9" s="9">
        <f>M4*0.2</f>
        <v/>
      </c>
      <c r="M9" s="9">
        <f>M4*0.2</f>
        <v/>
      </c>
      <c r="N9" s="36">
        <f>SUM(B9:M9)</f>
        <v/>
      </c>
    </row>
    <row r="10">
      <c r="A10" s="33" t="inlineStr">
        <is>
          <t>Diferenca</t>
        </is>
      </c>
      <c r="B10" s="6">
        <f>B8-B9</f>
        <v/>
      </c>
      <c r="C10" s="6">
        <f>C8-C9</f>
        <v/>
      </c>
      <c r="D10" s="6">
        <f>D8-D9</f>
        <v/>
      </c>
      <c r="E10" s="6">
        <f>E8-E9</f>
        <v/>
      </c>
      <c r="F10" s="6">
        <f>F8-F9</f>
        <v/>
      </c>
      <c r="G10" s="6">
        <f>G8-G9</f>
        <v/>
      </c>
      <c r="H10" s="6">
        <f>H8-H9</f>
        <v/>
      </c>
      <c r="I10" s="6">
        <f>I8-I9</f>
        <v/>
      </c>
      <c r="J10" s="6">
        <f>J8-J9</f>
        <v/>
      </c>
      <c r="K10" s="6">
        <f>K8-K9</f>
        <v/>
      </c>
      <c r="L10" s="6">
        <f>L8-L9</f>
        <v/>
      </c>
      <c r="M10" s="6">
        <f>M8-M9</f>
        <v/>
      </c>
      <c r="N10" s="34">
        <f>SUM(B10:M10)</f>
        <v/>
      </c>
    </row>
    <row r="12">
      <c r="A12" s="40" t="inlineStr">
        <is>
          <t>Total Gastos (aux)</t>
        </is>
      </c>
      <c r="B12" s="41">
        <f>B5+B6+B7</f>
        <v/>
      </c>
      <c r="C12" s="41">
        <f>C5+C6+C7</f>
        <v/>
      </c>
      <c r="D12" s="41">
        <f>D5+D6+D7</f>
        <v/>
      </c>
      <c r="E12" s="41">
        <f>E5+E6+E7</f>
        <v/>
      </c>
      <c r="F12" s="41">
        <f>F5+F6+F7</f>
        <v/>
      </c>
      <c r="G12" s="41">
        <f>G5+G6+G7</f>
        <v/>
      </c>
      <c r="H12" s="41">
        <f>H5+H6+H7</f>
        <v/>
      </c>
      <c r="I12" s="41">
        <f>I5+I6+I7</f>
        <v/>
      </c>
      <c r="J12" s="41">
        <f>J5+J6+J7</f>
        <v/>
      </c>
      <c r="K12" s="41">
        <f>K5+K6+K7</f>
        <v/>
      </c>
      <c r="L12" s="41">
        <f>L5+L6+L7</f>
        <v/>
      </c>
      <c r="M12" s="41">
        <f>M5+M6+M7</f>
        <v/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5" customHeight="1">
      <c r="A1" s="42" t="inlineStr">
        <is>
          <t>COMO USAR SUA PLANILHA DE AUDITORIA FINANCEIRA</t>
        </is>
      </c>
      <c r="B1" s="43" t="n"/>
      <c r="C1" s="43" t="n"/>
      <c r="D1" s="43" t="n"/>
      <c r="E1" s="43" t="n"/>
      <c r="F1" s="43" t="n"/>
    </row>
    <row r="3">
      <c r="A3" s="12" t="inlineStr">
        <is>
          <t>Passo 1: Comece pela aba "Auditoria de Assinaturas"</t>
        </is>
      </c>
    </row>
    <row r="4">
      <c r="A4" s="44" t="inlineStr">
        <is>
          <t>Revise cada assinatura que voce paga atualmente. Para cada uma, pergunte:
- Com que frequencia eu uso isso?
- Isso me traz valor real?
Classifique como ESSENCIAL, POSSO REDUZIR ou CANCELAR. A coluna Economia calculara automaticamente quanto voce pode poupar.</t>
        </is>
      </c>
    </row>
    <row r="5"/>
    <row r="6"/>
    <row r="8">
      <c r="A8" s="12" t="inlineStr">
        <is>
          <t>Passo 2: Preencha o "Raio-X Mensal"</t>
        </is>
      </c>
    </row>
    <row r="9">
      <c r="A9" s="44" t="inlineStr">
        <is>
          <t>Liste quanto voce PLANEJA gastar em cada categoria (Orcado) e quanto REALMENTE gastou (Realizado).
A planilha calculara automaticamente a diferenca e destacara em verde (dentro do orcamento) ou vermelho (acima).
Use extratos bancarios e de cartao de credito para preencher com precisao.</t>
        </is>
      </c>
    </row>
    <row r="10"/>
    <row r="11"/>
    <row r="13">
      <c r="A13" s="12" t="inlineStr">
        <is>
          <t>Passo 3: Defina sua "Meta de Economia"</t>
        </is>
      </c>
    </row>
    <row r="14">
      <c r="A14" s="44" t="inlineStr">
        <is>
          <t>Insira sua renda mensal liquida e a porcentagem que deseja economizar (recomendamos comecar com 10-20%).
A planilha mostrara quanto voce acumulara em 1, 5 e 10 anos com juros compostos.
Experimente ajustar os valores para ver o impacto de pequenas mudancas!</t>
        </is>
      </c>
    </row>
    <row r="15"/>
    <row r="16"/>
    <row r="18">
      <c r="A18" s="12" t="inlineStr">
        <is>
          <t>Passo 4: Acompanhe no "Controle 12 Meses"</t>
        </is>
      </c>
    </row>
    <row r="19">
      <c r="A19" s="44" t="inlineStr">
        <is>
          <t>A cada mes, registre sua receita, gastos fixos, gastos variaveis e assinaturas.
O grafico atualizara automaticamente, mostrando sua evolucao financeira ao longo do ano.
A linha de Sobra mostra quanto voce conseguiu guardar a cada mes.</t>
        </is>
      </c>
    </row>
    <row r="20"/>
    <row r="21"/>
    <row r="23">
      <c r="A23" s="45" t="inlineStr">
        <is>
          <t>Dica: Revise mensalmente!</t>
        </is>
      </c>
      <c r="B23" s="46" t="n"/>
      <c r="C23" s="46" t="n"/>
      <c r="D23" s="46" t="n"/>
      <c r="E23" s="46" t="n"/>
      <c r="F23" s="46" t="n"/>
    </row>
    <row r="24">
      <c r="A24" s="44" t="inlineStr">
        <is>
          <t>Reserve 30 minutos no inicio de cada mes para atualizar seus numeros.
Consistencia e mais importante que perfeicao. Comece hoje!</t>
        </is>
      </c>
    </row>
    <row r="25"/>
    <row r="28">
      <c r="A28" s="47" t="inlineStr">
        <is>
          <t>Criada por Marina Veauvy - marinaveauvy.com.br</t>
        </is>
      </c>
      <c r="B28" s="26" t="n"/>
      <c r="C28" s="26" t="n"/>
      <c r="D28" s="26" t="n"/>
      <c r="E28" s="26" t="n"/>
      <c r="F28" s="26" t="n"/>
    </row>
    <row r="29">
      <c r="A29" s="48" t="inlineStr">
        <is>
          <t>Receba dicas semanais: newsletter Dinheiro Simples - marinaveauvy.github.io/costuras-meditacoes/newsletter-dinheiro-simples.html</t>
        </is>
      </c>
    </row>
  </sheetData>
  <mergeCells count="13">
    <mergeCell ref="A14:F16"/>
    <mergeCell ref="A28:F28"/>
    <mergeCell ref="A13:F13"/>
    <mergeCell ref="A9:F11"/>
    <mergeCell ref="A1:F1"/>
    <mergeCell ref="A4:F6"/>
    <mergeCell ref="A23:F23"/>
    <mergeCell ref="A8:F8"/>
    <mergeCell ref="A24:F25"/>
    <mergeCell ref="A18:F18"/>
    <mergeCell ref="A3:F3"/>
    <mergeCell ref="A29:F29"/>
    <mergeCell ref="A19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2026-03-07T15:47:16Z</dcterms:created>
  <dcterms:modified xsi:type="dcterms:W3CDTF">2026-03-07T15:47:16Z</dcterms:modified>
</cp:coreProperties>
</file>